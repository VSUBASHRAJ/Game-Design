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7580"/>
  </bookViews>
  <sheets>
    <sheet name="Overview" sheetId="1" r:id="rId1"/>
    <sheet name="Simulation" sheetId="2" r:id="rId2"/>
    <sheet name="Summary" sheetId="3" r:id="rId3"/>
  </sheets>
  <calcPr calcId="162913"/>
</workbook>
</file>

<file path=xl/calcChain.xml><?xml version="1.0" encoding="utf-8"?>
<calcChain xmlns="http://schemas.openxmlformats.org/spreadsheetml/2006/main">
  <c r="B2" i="3" l="1"/>
  <c r="B21" i="2"/>
  <c r="C21" i="2" s="1"/>
  <c r="D21" i="2" s="1"/>
  <c r="B20" i="2"/>
  <c r="C20" i="2" s="1"/>
  <c r="D20" i="2" s="1"/>
  <c r="B19" i="2"/>
  <c r="C19" i="2" s="1"/>
  <c r="D19" i="2" s="1"/>
  <c r="B18" i="2"/>
  <c r="C18" i="2" s="1"/>
  <c r="D18" i="2" s="1"/>
  <c r="B17" i="2"/>
  <c r="C17" i="2" s="1"/>
  <c r="D17" i="2" s="1"/>
  <c r="B16" i="2"/>
  <c r="C16" i="2" s="1"/>
  <c r="D16" i="2" s="1"/>
  <c r="B15" i="2"/>
  <c r="C15" i="2" s="1"/>
  <c r="D15" i="2" s="1"/>
  <c r="B14" i="2"/>
  <c r="C14" i="2" s="1"/>
  <c r="D14" i="2" s="1"/>
  <c r="B13" i="2"/>
  <c r="C13" i="2" s="1"/>
  <c r="D13" i="2" s="1"/>
  <c r="B12" i="2"/>
  <c r="C12" i="2" s="1"/>
  <c r="D12" i="2" s="1"/>
  <c r="B11" i="2"/>
  <c r="C11" i="2" s="1"/>
  <c r="D11" i="2" s="1"/>
  <c r="B10" i="2"/>
  <c r="C10" i="2" s="1"/>
  <c r="D10" i="2" s="1"/>
  <c r="B9" i="2"/>
  <c r="C9" i="2" s="1"/>
  <c r="D9" i="2" s="1"/>
  <c r="B8" i="2"/>
  <c r="C8" i="2" s="1"/>
  <c r="D8" i="2" s="1"/>
  <c r="B7" i="2"/>
  <c r="C7" i="2" s="1"/>
  <c r="D7" i="2" s="1"/>
  <c r="B6" i="2"/>
  <c r="C6" i="2" s="1"/>
  <c r="D6" i="2" s="1"/>
  <c r="C5" i="2"/>
  <c r="D5" i="2" s="1"/>
  <c r="B5" i="2"/>
  <c r="B4" i="2"/>
  <c r="C4" i="2" s="1"/>
  <c r="D4" i="2" s="1"/>
  <c r="B3" i="2"/>
  <c r="C3" i="2" s="1"/>
  <c r="D3" i="2" s="1"/>
  <c r="B2" i="2"/>
  <c r="C2" i="2" s="1"/>
  <c r="D2" i="2" s="1"/>
  <c r="B3" i="3" l="1"/>
  <c r="B4" i="3"/>
</calcChain>
</file>

<file path=xl/sharedStrings.xml><?xml version="1.0" encoding="utf-8"?>
<sst xmlns="http://schemas.openxmlformats.org/spreadsheetml/2006/main" count="24" uniqueCount="23">
  <si>
    <t>Bingo Room &amp; Mini-Game Design (F2P Concept)</t>
  </si>
  <si>
    <t>Player Tokens</t>
  </si>
  <si>
    <t>Cost per Play</t>
  </si>
  <si>
    <t>Starting Coins</t>
  </si>
  <si>
    <t>Reward Probabilities</t>
  </si>
  <si>
    <t>Range</t>
  </si>
  <si>
    <t>Reward</t>
  </si>
  <si>
    <t>1-50</t>
  </si>
  <si>
    <t>20 Coins</t>
  </si>
  <si>
    <t>51-80</t>
  </si>
  <si>
    <t>50 Coins</t>
  </si>
  <si>
    <t>81-95</t>
  </si>
  <si>
    <t>Booster</t>
  </si>
  <si>
    <t>96-100</t>
  </si>
  <si>
    <t>Jackpot (200 Coins)</t>
  </si>
  <si>
    <t>Play</t>
  </si>
  <si>
    <t>Random</t>
  </si>
  <si>
    <t>Coins Earned</t>
  </si>
  <si>
    <t>Metric</t>
  </si>
  <si>
    <t>Value</t>
  </si>
  <si>
    <t>Total Plays</t>
  </si>
  <si>
    <t>Total Coins Earned</t>
  </si>
  <si>
    <t>Average Coins per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</si>
</sst>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Coins Earned per Play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Simulation!$D$1</c:f>
              <c:strCache>
                <c:ptCount val="1"/>
                <c:pt idx="0">
                  <c:v>Coins Earned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Simulation!$A$2:$A$21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Simulation!$D$2:$D$21</c:f>
              <c:numCache>
                <c:formatCode>General</c:formatCode>
                <c:ptCount val="20"/>
                <c:pt idx="0">
                  <c:v>50</c:v>
                </c:pt>
                <c:pt idx="1">
                  <c:v>20</c:v>
                </c:pt>
                <c:pt idx="2">
                  <c:v>50</c:v>
                </c:pt>
                <c:pt idx="3">
                  <c:v>50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50</c:v>
                </c:pt>
                <c:pt idx="8">
                  <c:v>50</c:v>
                </c:pt>
                <c:pt idx="9">
                  <c:v>20</c:v>
                </c:pt>
                <c:pt idx="10">
                  <c:v>200</c:v>
                </c:pt>
                <c:pt idx="11">
                  <c:v>50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0</c:v>
                </c:pt>
                <c:pt idx="16">
                  <c:v>20</c:v>
                </c:pt>
                <c:pt idx="17">
                  <c:v>50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B-4A70-B6D7-E0DF616BD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2"/>
  <sheetViews>
    <sheetView tabSelected="1" workbookViewId="0">
      <selection activeCell="B13" sqref="B13"/>
    </sheetView>
  </sheetViews>
  <sheetFormatPr defaultRowHeight="14.5" x14ac:dyDescent="0.35"/>
  <cols>
    <col min="1" max="1" width="52.453125" bestFit="1" customWidth="1"/>
    <col min="2" max="2" width="16.81640625" bestFit="1" customWidth="1"/>
  </cols>
  <sheetData>
    <row r="1" spans="1:3" ht="18.5" x14ac:dyDescent="0.45">
      <c r="A1" s="2" t="s">
        <v>0</v>
      </c>
      <c r="B1" s="2"/>
      <c r="C1" s="2"/>
    </row>
    <row r="3" spans="1:3" x14ac:dyDescent="0.35">
      <c r="A3" t="s">
        <v>1</v>
      </c>
      <c r="B3">
        <v>100</v>
      </c>
    </row>
    <row r="4" spans="1:3" x14ac:dyDescent="0.35">
      <c r="A4" t="s">
        <v>2</v>
      </c>
      <c r="B4">
        <v>20</v>
      </c>
    </row>
    <row r="5" spans="1:3" x14ac:dyDescent="0.35">
      <c r="A5" t="s">
        <v>3</v>
      </c>
      <c r="B5">
        <v>0</v>
      </c>
    </row>
    <row r="7" spans="1:3" x14ac:dyDescent="0.35">
      <c r="A7" s="1" t="s">
        <v>4</v>
      </c>
    </row>
    <row r="8" spans="1:3" x14ac:dyDescent="0.35">
      <c r="A8" t="s">
        <v>5</v>
      </c>
      <c r="B8" t="s">
        <v>6</v>
      </c>
    </row>
    <row r="9" spans="1:3" x14ac:dyDescent="0.35">
      <c r="A9" t="s">
        <v>7</v>
      </c>
      <c r="B9" t="s">
        <v>8</v>
      </c>
    </row>
    <row r="10" spans="1:3" x14ac:dyDescent="0.35">
      <c r="A10" t="s">
        <v>9</v>
      </c>
      <c r="B10" t="s">
        <v>10</v>
      </c>
    </row>
    <row r="11" spans="1:3" x14ac:dyDescent="0.35">
      <c r="A11" t="s">
        <v>11</v>
      </c>
      <c r="B11" t="s">
        <v>12</v>
      </c>
    </row>
    <row r="12" spans="1:3" x14ac:dyDescent="0.35">
      <c r="A12" t="s">
        <v>13</v>
      </c>
      <c r="B12" t="s">
        <v>14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1"/>
  <sheetViews>
    <sheetView workbookViewId="0"/>
  </sheetViews>
  <sheetFormatPr defaultRowHeight="14.5" x14ac:dyDescent="0.35"/>
  <sheetData>
    <row r="1" spans="1:4" x14ac:dyDescent="0.35">
      <c r="A1" s="1" t="s">
        <v>15</v>
      </c>
      <c r="B1" s="1" t="s">
        <v>16</v>
      </c>
      <c r="C1" s="1" t="s">
        <v>6</v>
      </c>
      <c r="D1" s="1" t="s">
        <v>17</v>
      </c>
    </row>
    <row r="2" spans="1:4" x14ac:dyDescent="0.35">
      <c r="A2">
        <v>1</v>
      </c>
      <c r="B2">
        <f t="shared" ref="B2:B21" ca="1" si="0">RANDBETWEEN(1,100)</f>
        <v>70</v>
      </c>
      <c r="C2" t="str">
        <f t="shared" ref="C2:C21" ca="1" si="1">IF(B2&lt;=50,"20 Coins",IF(B2&lt;=80,"50 Coins",IF(B2&lt;=95,"Booster","Jackpot")))</f>
        <v>50 Coins</v>
      </c>
      <c r="D2">
        <f t="shared" ref="D2:D21" ca="1" si="2">IF(C2="20 Coins",20,IF(C2="50 Coins",50,IF(C2="Jackpot",200,0)))</f>
        <v>50</v>
      </c>
    </row>
    <row r="3" spans="1:4" x14ac:dyDescent="0.35">
      <c r="A3">
        <v>2</v>
      </c>
      <c r="B3">
        <f t="shared" ca="1" si="0"/>
        <v>41</v>
      </c>
      <c r="C3" t="str">
        <f t="shared" ca="1" si="1"/>
        <v>20 Coins</v>
      </c>
      <c r="D3">
        <f t="shared" ca="1" si="2"/>
        <v>20</v>
      </c>
    </row>
    <row r="4" spans="1:4" x14ac:dyDescent="0.35">
      <c r="A4">
        <v>3</v>
      </c>
      <c r="B4">
        <f t="shared" ca="1" si="0"/>
        <v>57</v>
      </c>
      <c r="C4" t="str">
        <f t="shared" ca="1" si="1"/>
        <v>50 Coins</v>
      </c>
      <c r="D4">
        <f t="shared" ca="1" si="2"/>
        <v>50</v>
      </c>
    </row>
    <row r="5" spans="1:4" x14ac:dyDescent="0.35">
      <c r="A5">
        <v>4</v>
      </c>
      <c r="B5">
        <f t="shared" ca="1" si="0"/>
        <v>68</v>
      </c>
      <c r="C5" t="str">
        <f t="shared" ca="1" si="1"/>
        <v>50 Coins</v>
      </c>
      <c r="D5">
        <f t="shared" ca="1" si="2"/>
        <v>50</v>
      </c>
    </row>
    <row r="6" spans="1:4" x14ac:dyDescent="0.35">
      <c r="A6">
        <v>5</v>
      </c>
      <c r="B6">
        <f t="shared" ca="1" si="0"/>
        <v>1</v>
      </c>
      <c r="C6" t="str">
        <f t="shared" ca="1" si="1"/>
        <v>20 Coins</v>
      </c>
      <c r="D6">
        <f t="shared" ca="1" si="2"/>
        <v>20</v>
      </c>
    </row>
    <row r="7" spans="1:4" x14ac:dyDescent="0.35">
      <c r="A7">
        <v>6</v>
      </c>
      <c r="B7">
        <f t="shared" ca="1" si="0"/>
        <v>17</v>
      </c>
      <c r="C7" t="str">
        <f t="shared" ca="1" si="1"/>
        <v>20 Coins</v>
      </c>
      <c r="D7">
        <f t="shared" ca="1" si="2"/>
        <v>20</v>
      </c>
    </row>
    <row r="8" spans="1:4" x14ac:dyDescent="0.35">
      <c r="A8">
        <v>7</v>
      </c>
      <c r="B8">
        <f t="shared" ca="1" si="0"/>
        <v>7</v>
      </c>
      <c r="C8" t="str">
        <f t="shared" ca="1" si="1"/>
        <v>20 Coins</v>
      </c>
      <c r="D8">
        <f t="shared" ca="1" si="2"/>
        <v>20</v>
      </c>
    </row>
    <row r="9" spans="1:4" x14ac:dyDescent="0.35">
      <c r="A9">
        <v>8</v>
      </c>
      <c r="B9">
        <f t="shared" ca="1" si="0"/>
        <v>53</v>
      </c>
      <c r="C9" t="str">
        <f t="shared" ca="1" si="1"/>
        <v>50 Coins</v>
      </c>
      <c r="D9">
        <f t="shared" ca="1" si="2"/>
        <v>50</v>
      </c>
    </row>
    <row r="10" spans="1:4" x14ac:dyDescent="0.35">
      <c r="A10">
        <v>9</v>
      </c>
      <c r="B10">
        <f t="shared" ca="1" si="0"/>
        <v>75</v>
      </c>
      <c r="C10" t="str">
        <f t="shared" ca="1" si="1"/>
        <v>50 Coins</v>
      </c>
      <c r="D10">
        <f t="shared" ca="1" si="2"/>
        <v>50</v>
      </c>
    </row>
    <row r="11" spans="1:4" x14ac:dyDescent="0.35">
      <c r="A11">
        <v>10</v>
      </c>
      <c r="B11">
        <f t="shared" ca="1" si="0"/>
        <v>17</v>
      </c>
      <c r="C11" t="str">
        <f t="shared" ca="1" si="1"/>
        <v>20 Coins</v>
      </c>
      <c r="D11">
        <f t="shared" ca="1" si="2"/>
        <v>20</v>
      </c>
    </row>
    <row r="12" spans="1:4" x14ac:dyDescent="0.35">
      <c r="A12">
        <v>11</v>
      </c>
      <c r="B12">
        <f t="shared" ca="1" si="0"/>
        <v>97</v>
      </c>
      <c r="C12" t="str">
        <f t="shared" ca="1" si="1"/>
        <v>Jackpot</v>
      </c>
      <c r="D12">
        <f t="shared" ca="1" si="2"/>
        <v>200</v>
      </c>
    </row>
    <row r="13" spans="1:4" x14ac:dyDescent="0.35">
      <c r="A13">
        <v>12</v>
      </c>
      <c r="B13">
        <f t="shared" ca="1" si="0"/>
        <v>54</v>
      </c>
      <c r="C13" t="str">
        <f t="shared" ca="1" si="1"/>
        <v>50 Coins</v>
      </c>
      <c r="D13">
        <f t="shared" ca="1" si="2"/>
        <v>50</v>
      </c>
    </row>
    <row r="14" spans="1:4" x14ac:dyDescent="0.35">
      <c r="A14">
        <v>13</v>
      </c>
      <c r="B14">
        <f t="shared" ca="1" si="0"/>
        <v>27</v>
      </c>
      <c r="C14" t="str">
        <f t="shared" ca="1" si="1"/>
        <v>20 Coins</v>
      </c>
      <c r="D14">
        <f t="shared" ca="1" si="2"/>
        <v>20</v>
      </c>
    </row>
    <row r="15" spans="1:4" x14ac:dyDescent="0.35">
      <c r="A15">
        <v>14</v>
      </c>
      <c r="B15">
        <f t="shared" ca="1" si="0"/>
        <v>44</v>
      </c>
      <c r="C15" t="str">
        <f t="shared" ca="1" si="1"/>
        <v>20 Coins</v>
      </c>
      <c r="D15">
        <f t="shared" ca="1" si="2"/>
        <v>20</v>
      </c>
    </row>
    <row r="16" spans="1:4" x14ac:dyDescent="0.35">
      <c r="A16">
        <v>15</v>
      </c>
      <c r="B16">
        <f t="shared" ca="1" si="0"/>
        <v>50</v>
      </c>
      <c r="C16" t="str">
        <f t="shared" ca="1" si="1"/>
        <v>20 Coins</v>
      </c>
      <c r="D16">
        <f t="shared" ca="1" si="2"/>
        <v>20</v>
      </c>
    </row>
    <row r="17" spans="1:4" x14ac:dyDescent="0.35">
      <c r="A17">
        <v>16</v>
      </c>
      <c r="B17">
        <f t="shared" ca="1" si="0"/>
        <v>82</v>
      </c>
      <c r="C17" t="str">
        <f t="shared" ca="1" si="1"/>
        <v>Booster</v>
      </c>
      <c r="D17">
        <f t="shared" ca="1" si="2"/>
        <v>0</v>
      </c>
    </row>
    <row r="18" spans="1:4" x14ac:dyDescent="0.35">
      <c r="A18">
        <v>17</v>
      </c>
      <c r="B18">
        <f t="shared" ca="1" si="0"/>
        <v>38</v>
      </c>
      <c r="C18" t="str">
        <f t="shared" ca="1" si="1"/>
        <v>20 Coins</v>
      </c>
      <c r="D18">
        <f t="shared" ca="1" si="2"/>
        <v>20</v>
      </c>
    </row>
    <row r="19" spans="1:4" x14ac:dyDescent="0.35">
      <c r="A19">
        <v>18</v>
      </c>
      <c r="B19">
        <f t="shared" ca="1" si="0"/>
        <v>76</v>
      </c>
      <c r="C19" t="str">
        <f t="shared" ca="1" si="1"/>
        <v>50 Coins</v>
      </c>
      <c r="D19">
        <f t="shared" ca="1" si="2"/>
        <v>50</v>
      </c>
    </row>
    <row r="20" spans="1:4" x14ac:dyDescent="0.35">
      <c r="A20">
        <v>19</v>
      </c>
      <c r="B20">
        <f t="shared" ca="1" si="0"/>
        <v>30</v>
      </c>
      <c r="C20" t="str">
        <f t="shared" ca="1" si="1"/>
        <v>20 Coins</v>
      </c>
      <c r="D20">
        <f t="shared" ca="1" si="2"/>
        <v>20</v>
      </c>
    </row>
    <row r="21" spans="1:4" x14ac:dyDescent="0.35">
      <c r="A21">
        <v>20</v>
      </c>
      <c r="B21">
        <f t="shared" ca="1" si="0"/>
        <v>15</v>
      </c>
      <c r="C21" t="str">
        <f t="shared" ca="1" si="1"/>
        <v>20 Coins</v>
      </c>
      <c r="D21">
        <f t="shared" ca="1" si="2"/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4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19</v>
      </c>
    </row>
    <row r="2" spans="1:2" x14ac:dyDescent="0.35">
      <c r="A2" t="s">
        <v>20</v>
      </c>
      <c r="B2">
        <f>COUNTA(Simulation!A2:A21)</f>
        <v>20</v>
      </c>
    </row>
    <row r="3" spans="1:2" x14ac:dyDescent="0.35">
      <c r="A3" t="s">
        <v>21</v>
      </c>
      <c r="B3">
        <f ca="1">SUM(Simulation!D2:D21)</f>
        <v>770</v>
      </c>
    </row>
    <row r="4" spans="1:2" x14ac:dyDescent="0.35">
      <c r="A4" t="s">
        <v>22</v>
      </c>
      <c r="B4">
        <f ca="1">AVERAGE(Simulation!D2:D21)</f>
        <v>38.5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Simulation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2026-03-18T13:46:21Z</dcterms:created>
  <dcterms:modified xsi:type="dcterms:W3CDTF">2026-03-18T13:49:35Z</dcterms:modified>
</cp:coreProperties>
</file>