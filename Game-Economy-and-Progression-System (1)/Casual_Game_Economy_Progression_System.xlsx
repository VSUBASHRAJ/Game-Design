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y_Table" sheetId="1" state="visible" r:id="rId1"/>
    <sheet xmlns:r="http://schemas.openxmlformats.org/officeDocument/2006/relationships" name="Simul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Coins Earned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'Simulation'!$A$2:$A$21</f>
            </numRef>
          </cat>
          <val>
            <numRef>
              <f>'Simulation'!$D$2:$D$21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Tokens Needed</t>
        </is>
      </c>
      <c r="C1" s="1" t="inlineStr">
        <is>
          <t>Reward (Coins)</t>
        </is>
      </c>
      <c r="D1" s="1" t="inlineStr">
        <is>
          <t>Difficulty</t>
        </is>
      </c>
    </row>
    <row r="2">
      <c r="A2" t="n">
        <v>1</v>
      </c>
      <c r="B2" t="n">
        <v>10</v>
      </c>
      <c r="C2" t="n">
        <v>50</v>
      </c>
      <c r="D2" t="inlineStr">
        <is>
          <t>Easy</t>
        </is>
      </c>
    </row>
    <row r="3">
      <c r="A3" t="n">
        <v>2</v>
      </c>
      <c r="B3" t="n">
        <v>15</v>
      </c>
      <c r="C3" t="n">
        <v>70</v>
      </c>
      <c r="D3" t="inlineStr">
        <is>
          <t>Easy</t>
        </is>
      </c>
    </row>
    <row r="4">
      <c r="A4" t="n">
        <v>3</v>
      </c>
      <c r="B4" t="n">
        <v>20</v>
      </c>
      <c r="C4" t="n">
        <v>100</v>
      </c>
      <c r="D4" t="inlineStr">
        <is>
          <t>Medium</t>
        </is>
      </c>
    </row>
    <row r="5">
      <c r="A5" t="n">
        <v>4</v>
      </c>
      <c r="B5" t="n">
        <v>25</v>
      </c>
      <c r="C5" t="n">
        <v>130</v>
      </c>
      <c r="D5" t="inlineStr">
        <is>
          <t>Medium</t>
        </is>
      </c>
    </row>
    <row r="6">
      <c r="A6" t="n">
        <v>5</v>
      </c>
      <c r="B6" t="n">
        <v>30</v>
      </c>
      <c r="C6" t="n">
        <v>200</v>
      </c>
      <c r="D6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</t>
        </is>
      </c>
      <c r="B1" s="1" t="inlineStr">
        <is>
          <t>Level</t>
        </is>
      </c>
      <c r="C1" s="1" t="inlineStr">
        <is>
          <t>Tokens Used</t>
        </is>
      </c>
      <c r="D1" s="1" t="inlineStr">
        <is>
          <t>Coins Earned</t>
        </is>
      </c>
    </row>
    <row r="2">
      <c r="A2" t="n">
        <v>1</v>
      </c>
      <c r="B2">
        <f>MIN(5,INT((A2-1)/4)+1)</f>
        <v/>
      </c>
      <c r="C2">
        <f>VLOOKUP(B2,Economy_Table!A2:D6,2,FALSE)</f>
        <v/>
      </c>
      <c r="D2">
        <f>VLOOKUP(B2,Economy_Table!A2:D6,3,FALSE)</f>
        <v/>
      </c>
    </row>
    <row r="3">
      <c r="A3" t="n">
        <v>2</v>
      </c>
      <c r="B3">
        <f>MIN(5,INT((A3-1)/4)+1)</f>
        <v/>
      </c>
      <c r="C3">
        <f>VLOOKUP(B3,Economy_Table!A2:D6,2,FALSE)</f>
        <v/>
      </c>
      <c r="D3">
        <f>VLOOKUP(B3,Economy_Table!A2:D6,3,FALSE)</f>
        <v/>
      </c>
    </row>
    <row r="4">
      <c r="A4" t="n">
        <v>3</v>
      </c>
      <c r="B4">
        <f>MIN(5,INT((A4-1)/4)+1)</f>
        <v/>
      </c>
      <c r="C4">
        <f>VLOOKUP(B4,Economy_Table!A2:D6,2,FALSE)</f>
        <v/>
      </c>
      <c r="D4">
        <f>VLOOKUP(B4,Economy_Table!A2:D6,3,FALSE)</f>
        <v/>
      </c>
    </row>
    <row r="5">
      <c r="A5" t="n">
        <v>4</v>
      </c>
      <c r="B5">
        <f>MIN(5,INT((A5-1)/4)+1)</f>
        <v/>
      </c>
      <c r="C5">
        <f>VLOOKUP(B5,Economy_Table!A2:D6,2,FALSE)</f>
        <v/>
      </c>
      <c r="D5">
        <f>VLOOKUP(B5,Economy_Table!A2:D6,3,FALSE)</f>
        <v/>
      </c>
    </row>
    <row r="6">
      <c r="A6" t="n">
        <v>5</v>
      </c>
      <c r="B6">
        <f>MIN(5,INT((A6-1)/4)+1)</f>
        <v/>
      </c>
      <c r="C6">
        <f>VLOOKUP(B6,Economy_Table!A2:D6,2,FALSE)</f>
        <v/>
      </c>
      <c r="D6">
        <f>VLOOKUP(B6,Economy_Table!A2:D6,3,FALSE)</f>
        <v/>
      </c>
    </row>
    <row r="7">
      <c r="A7" t="n">
        <v>6</v>
      </c>
      <c r="B7">
        <f>MIN(5,INT((A7-1)/4)+1)</f>
        <v/>
      </c>
      <c r="C7">
        <f>VLOOKUP(B7,Economy_Table!A2:D6,2,FALSE)</f>
        <v/>
      </c>
      <c r="D7">
        <f>VLOOKUP(B7,Economy_Table!A2:D6,3,FALSE)</f>
        <v/>
      </c>
    </row>
    <row r="8">
      <c r="A8" t="n">
        <v>7</v>
      </c>
      <c r="B8">
        <f>MIN(5,INT((A8-1)/4)+1)</f>
        <v/>
      </c>
      <c r="C8">
        <f>VLOOKUP(B8,Economy_Table!A2:D6,2,FALSE)</f>
        <v/>
      </c>
      <c r="D8">
        <f>VLOOKUP(B8,Economy_Table!A2:D6,3,FALSE)</f>
        <v/>
      </c>
    </row>
    <row r="9">
      <c r="A9" t="n">
        <v>8</v>
      </c>
      <c r="B9">
        <f>MIN(5,INT((A9-1)/4)+1)</f>
        <v/>
      </c>
      <c r="C9">
        <f>VLOOKUP(B9,Economy_Table!A2:D6,2,FALSE)</f>
        <v/>
      </c>
      <c r="D9">
        <f>VLOOKUP(B9,Economy_Table!A2:D6,3,FALSE)</f>
        <v/>
      </c>
    </row>
    <row r="10">
      <c r="A10" t="n">
        <v>9</v>
      </c>
      <c r="B10">
        <f>MIN(5,INT((A10-1)/4)+1)</f>
        <v/>
      </c>
      <c r="C10">
        <f>VLOOKUP(B10,Economy_Table!A2:D6,2,FALSE)</f>
        <v/>
      </c>
      <c r="D10">
        <f>VLOOKUP(B10,Economy_Table!A2:D6,3,FALSE)</f>
        <v/>
      </c>
    </row>
    <row r="11">
      <c r="A11" t="n">
        <v>10</v>
      </c>
      <c r="B11">
        <f>MIN(5,INT((A11-1)/4)+1)</f>
        <v/>
      </c>
      <c r="C11">
        <f>VLOOKUP(B11,Economy_Table!A2:D6,2,FALSE)</f>
        <v/>
      </c>
      <c r="D11">
        <f>VLOOKUP(B11,Economy_Table!A2:D6,3,FALSE)</f>
        <v/>
      </c>
    </row>
    <row r="12">
      <c r="A12" t="n">
        <v>11</v>
      </c>
      <c r="B12">
        <f>MIN(5,INT((A12-1)/4)+1)</f>
        <v/>
      </c>
      <c r="C12">
        <f>VLOOKUP(B12,Economy_Table!A2:D6,2,FALSE)</f>
        <v/>
      </c>
      <c r="D12">
        <f>VLOOKUP(B12,Economy_Table!A2:D6,3,FALSE)</f>
        <v/>
      </c>
    </row>
    <row r="13">
      <c r="A13" t="n">
        <v>12</v>
      </c>
      <c r="B13">
        <f>MIN(5,INT((A13-1)/4)+1)</f>
        <v/>
      </c>
      <c r="C13">
        <f>VLOOKUP(B13,Economy_Table!A2:D6,2,FALSE)</f>
        <v/>
      </c>
      <c r="D13">
        <f>VLOOKUP(B13,Economy_Table!A2:D6,3,FALSE)</f>
        <v/>
      </c>
    </row>
    <row r="14">
      <c r="A14" t="n">
        <v>13</v>
      </c>
      <c r="B14">
        <f>MIN(5,INT((A14-1)/4)+1)</f>
        <v/>
      </c>
      <c r="C14">
        <f>VLOOKUP(B14,Economy_Table!A2:D6,2,FALSE)</f>
        <v/>
      </c>
      <c r="D14">
        <f>VLOOKUP(B14,Economy_Table!A2:D6,3,FALSE)</f>
        <v/>
      </c>
    </row>
    <row r="15">
      <c r="A15" t="n">
        <v>14</v>
      </c>
      <c r="B15">
        <f>MIN(5,INT((A15-1)/4)+1)</f>
        <v/>
      </c>
      <c r="C15">
        <f>VLOOKUP(B15,Economy_Table!A2:D6,2,FALSE)</f>
        <v/>
      </c>
      <c r="D15">
        <f>VLOOKUP(B15,Economy_Table!A2:D6,3,FALSE)</f>
        <v/>
      </c>
    </row>
    <row r="16">
      <c r="A16" t="n">
        <v>15</v>
      </c>
      <c r="B16">
        <f>MIN(5,INT((A16-1)/4)+1)</f>
        <v/>
      </c>
      <c r="C16">
        <f>VLOOKUP(B16,Economy_Table!A2:D6,2,FALSE)</f>
        <v/>
      </c>
      <c r="D16">
        <f>VLOOKUP(B16,Economy_Table!A2:D6,3,FALSE)</f>
        <v/>
      </c>
    </row>
    <row r="17">
      <c r="A17" t="n">
        <v>16</v>
      </c>
      <c r="B17">
        <f>MIN(5,INT((A17-1)/4)+1)</f>
        <v/>
      </c>
      <c r="C17">
        <f>VLOOKUP(B17,Economy_Table!A2:D6,2,FALSE)</f>
        <v/>
      </c>
      <c r="D17">
        <f>VLOOKUP(B17,Economy_Table!A2:D6,3,FALSE)</f>
        <v/>
      </c>
    </row>
    <row r="18">
      <c r="A18" t="n">
        <v>17</v>
      </c>
      <c r="B18">
        <f>MIN(5,INT((A18-1)/4)+1)</f>
        <v/>
      </c>
      <c r="C18">
        <f>VLOOKUP(B18,Economy_Table!A2:D6,2,FALSE)</f>
        <v/>
      </c>
      <c r="D18">
        <f>VLOOKUP(B18,Economy_Table!A2:D6,3,FALSE)</f>
        <v/>
      </c>
    </row>
    <row r="19">
      <c r="A19" t="n">
        <v>18</v>
      </c>
      <c r="B19">
        <f>MIN(5,INT((A19-1)/4)+1)</f>
        <v/>
      </c>
      <c r="C19">
        <f>VLOOKUP(B19,Economy_Table!A2:D6,2,FALSE)</f>
        <v/>
      </c>
      <c r="D19">
        <f>VLOOKUP(B19,Economy_Table!A2:D6,3,FALSE)</f>
        <v/>
      </c>
    </row>
    <row r="20">
      <c r="A20" t="n">
        <v>19</v>
      </c>
      <c r="B20">
        <f>MIN(5,INT((A20-1)/4)+1)</f>
        <v/>
      </c>
      <c r="C20">
        <f>VLOOKUP(B20,Economy_Table!A2:D6,2,FALSE)</f>
        <v/>
      </c>
      <c r="D20">
        <f>VLOOKUP(B20,Economy_Table!A2:D6,3,FALSE)</f>
        <v/>
      </c>
    </row>
    <row r="21">
      <c r="A21" t="n">
        <v>20</v>
      </c>
      <c r="B21">
        <f>MIN(5,INT((A21-1)/4)+1)</f>
        <v/>
      </c>
      <c r="C21">
        <f>VLOOKUP(B21,Economy_Table!A2:D6,2,FALSE)</f>
        <v/>
      </c>
      <c r="D21">
        <f>VLOOKUP(B21,Economy_Table!A2:D6,3,FALSE)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Plays</t>
        </is>
      </c>
      <c r="B2">
        <f>COUNTA(Simulation!A2:A21)</f>
        <v/>
      </c>
    </row>
    <row r="3">
      <c r="A3" t="inlineStr">
        <is>
          <t>Total Coins Earned</t>
        </is>
      </c>
      <c r="B3">
        <f>SUM(Simulation!D2:D21)</f>
        <v/>
      </c>
    </row>
    <row r="4">
      <c r="A4" t="inlineStr">
        <is>
          <t>Average Coins per Play</t>
        </is>
      </c>
      <c r="B4">
        <f>AVERAGE(Simulation!D2:D21)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2026-03-18T13:59:23Z</dcterms:created>
  <dcterms:modified xmlns:dcterms="http://purl.org/dc/terms/" xmlns:xsi="http://www.w3.org/2001/XMLSchema-instance" xsi:type="dcterms:W3CDTF">2026-03-18T13:59:23Z</dcterms:modified>
</cp:coreProperties>
</file>